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YI PEREZ\Documents\dell\Robotics writeup\Submission\"/>
    </mc:Choice>
  </mc:AlternateContent>
  <xr:revisionPtr revIDLastSave="0" documentId="8_{6CEBA72D-64AA-42A7-BA1F-588874EE5829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Odometry" sheetId="1" r:id="rId1"/>
    <sheet name="Tracking" sheetId="2" r:id="rId2"/>
    <sheet name="Odometry 2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2" l="1"/>
  <c r="H17" i="2"/>
  <c r="G17" i="2"/>
  <c r="F17" i="2"/>
  <c r="E17" i="2"/>
  <c r="J16" i="2"/>
  <c r="H16" i="2"/>
  <c r="G16" i="2"/>
  <c r="F16" i="2"/>
  <c r="E16" i="2"/>
  <c r="I15" i="2"/>
  <c r="I14" i="2"/>
  <c r="I13" i="2"/>
  <c r="I12" i="2"/>
  <c r="I11" i="2"/>
  <c r="I10" i="2"/>
  <c r="I9" i="2"/>
  <c r="I8" i="2"/>
  <c r="I7" i="2"/>
  <c r="I6" i="2"/>
  <c r="S21" i="3"/>
  <c r="S19" i="3"/>
  <c r="X17" i="3"/>
  <c r="V17" i="3"/>
  <c r="U17" i="3"/>
  <c r="T17" i="3"/>
  <c r="S17" i="3"/>
  <c r="X16" i="3"/>
  <c r="V16" i="3"/>
  <c r="U16" i="3"/>
  <c r="T16" i="3"/>
  <c r="S16" i="3"/>
  <c r="W15" i="3"/>
  <c r="W14" i="3"/>
  <c r="W13" i="3"/>
  <c r="W12" i="3"/>
  <c r="W11" i="3"/>
  <c r="W10" i="3"/>
  <c r="W9" i="3"/>
  <c r="W8" i="3"/>
  <c r="W7" i="3"/>
  <c r="W6" i="3"/>
  <c r="K21" i="1"/>
  <c r="I21" i="1"/>
  <c r="H21" i="1"/>
  <c r="N17" i="3"/>
  <c r="M17" i="3"/>
  <c r="L17" i="3"/>
  <c r="K17" i="3"/>
  <c r="J17" i="3"/>
  <c r="I17" i="3"/>
  <c r="N16" i="3"/>
  <c r="M16" i="3"/>
  <c r="L16" i="3"/>
  <c r="K16" i="3"/>
  <c r="J16" i="3"/>
  <c r="I16" i="3"/>
  <c r="K20" i="1"/>
  <c r="I20" i="1"/>
  <c r="H20" i="1"/>
  <c r="G20" i="1"/>
  <c r="G21" i="1" s="1"/>
  <c r="J19" i="1"/>
  <c r="J18" i="1"/>
  <c r="J17" i="1"/>
  <c r="J16" i="1"/>
  <c r="J15" i="1"/>
  <c r="J14" i="1"/>
  <c r="J13" i="1"/>
  <c r="J12" i="1"/>
  <c r="J11" i="1"/>
  <c r="J10" i="1"/>
  <c r="F20" i="1"/>
  <c r="F21" i="1" s="1"/>
  <c r="J21" i="1" l="1"/>
  <c r="I17" i="2"/>
  <c r="I16" i="2"/>
  <c r="W17" i="3"/>
  <c r="W16" i="3"/>
  <c r="J20" i="1"/>
  <c r="E26" i="2"/>
  <c r="E27" i="2"/>
</calcChain>
</file>

<file path=xl/sharedStrings.xml><?xml version="1.0" encoding="utf-8"?>
<sst xmlns="http://schemas.openxmlformats.org/spreadsheetml/2006/main" count="82" uniqueCount="36">
  <si>
    <t xml:space="preserve">Goal </t>
  </si>
  <si>
    <t>Static Coordinates</t>
  </si>
  <si>
    <t>S/N</t>
  </si>
  <si>
    <t>X</t>
  </si>
  <si>
    <t>Y</t>
  </si>
  <si>
    <t>ODOMETRY</t>
  </si>
  <si>
    <t>Run</t>
  </si>
  <si>
    <t>Static (mm)</t>
  </si>
  <si>
    <t>Dynamic(mm)</t>
  </si>
  <si>
    <t>Euclidean</t>
  </si>
  <si>
    <t>Time(sec)</t>
  </si>
  <si>
    <t>d</t>
  </si>
  <si>
    <t>t</t>
  </si>
  <si>
    <t>Mean (μ	)</t>
  </si>
  <si>
    <t>Std (σ)</t>
  </si>
  <si>
    <t>Covariance = -0.37</t>
  </si>
  <si>
    <t xml:space="preserve">Correlation: </t>
  </si>
  <si>
    <t>Odometry Trajectory</t>
  </si>
  <si>
    <t>Dynamic Coordinates</t>
  </si>
  <si>
    <t>Covariance</t>
  </si>
  <si>
    <t>Correlation</t>
  </si>
  <si>
    <t>Euclidean Distance (mm)</t>
  </si>
  <si>
    <r>
      <t>Table 1:</t>
    </r>
    <r>
      <rPr>
        <b/>
        <sz val="9"/>
        <color rgb="FF000000"/>
        <rFont val="Calibri"/>
        <family val="2"/>
        <charset val="1"/>
      </rPr>
      <t>Data collected from the  odometry navigation </t>
    </r>
  </si>
  <si>
    <t>C</t>
  </si>
  <si>
    <t>static values(mm)</t>
  </si>
  <si>
    <t>Dynamic values (mm)</t>
  </si>
  <si>
    <t>Distance (mm)</t>
  </si>
  <si>
    <t>Time (sec)</t>
  </si>
  <si>
    <t>Waypoints</t>
  </si>
  <si>
    <r>
      <t>X</t>
    </r>
    <r>
      <rPr>
        <b/>
        <vertAlign val="subscript"/>
        <sz val="8"/>
        <color rgb="FF000000"/>
        <rFont val="Calibri"/>
        <family val="2"/>
        <charset val="1"/>
      </rPr>
      <t>n</t>
    </r>
  </si>
  <si>
    <r>
      <t>Y</t>
    </r>
    <r>
      <rPr>
        <b/>
        <vertAlign val="subscript"/>
        <sz val="8"/>
        <color rgb="FF000000"/>
        <rFont val="Calibri"/>
        <family val="2"/>
        <charset val="1"/>
      </rPr>
      <t>n</t>
    </r>
  </si>
  <si>
    <r>
      <t>X</t>
    </r>
    <r>
      <rPr>
        <b/>
        <vertAlign val="subscript"/>
        <sz val="8"/>
        <color rgb="FF000000"/>
        <rFont val="Calibri"/>
        <family val="2"/>
        <charset val="1"/>
      </rPr>
      <t>r</t>
    </r>
  </si>
  <si>
    <r>
      <t>Y</t>
    </r>
    <r>
      <rPr>
        <b/>
        <vertAlign val="subscript"/>
        <sz val="8"/>
        <color rgb="FF000000"/>
        <rFont val="Calibri"/>
        <family val="2"/>
        <charset val="1"/>
      </rPr>
      <t>r</t>
    </r>
  </si>
  <si>
    <r>
      <t>Mean (</t>
    </r>
    <r>
      <rPr>
        <b/>
        <sz val="9"/>
        <color rgb="FF000000"/>
        <rFont val="Times New Roman"/>
        <family val="1"/>
        <charset val="1"/>
      </rPr>
      <t>σ</t>
    </r>
    <r>
      <rPr>
        <b/>
        <sz val="8"/>
        <color rgb="FF000000"/>
        <rFont val="Calibri"/>
        <family val="2"/>
        <charset val="1"/>
      </rPr>
      <t>)</t>
    </r>
  </si>
  <si>
    <r>
      <t>Std (</t>
    </r>
    <r>
      <rPr>
        <b/>
        <sz val="9"/>
        <color rgb="FF000000"/>
        <rFont val="Times New Roman"/>
        <family val="1"/>
        <charset val="1"/>
      </rPr>
      <t>µ</t>
    </r>
    <r>
      <rPr>
        <b/>
        <sz val="8"/>
        <color rgb="FF000000"/>
        <rFont val="Calibri"/>
        <family val="2"/>
        <charset val="1"/>
      </rPr>
      <t>)</t>
    </r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</si>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</sst>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charset val="1"/>
    </font>
    <font>
      <b/>
      <sz val="8"/>
      <color theme="1"/>
      <name val="Times New Roman"/>
      <family val="1"/>
      <charset val="1"/>
    </font>
    <font>
      <b/>
      <sz val="8"/>
      <color rgb="FF000000"/>
      <name val="Calibri"/>
      <family val="2"/>
      <charset val="1"/>
    </font>
    <font>
      <b/>
      <vertAlign val="subscript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9"/>
      <color rgb="FF000000"/>
      <name val="Times New Roman"/>
      <family val="1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0" fontId="2" fillId="0" borderId="0" xfId="0" applyFont="1"/>
    <xf numFmtId="0" fontId="3" fillId="0" borderId="9" xfId="0" applyFont="1" applyBorder="1"/>
    <xf numFmtId="0" fontId="5" fillId="0" borderId="9" xfId="0" applyFont="1" applyBorder="1"/>
    <xf numFmtId="0" fontId="5" fillId="0" borderId="9" xfId="0" quotePrefix="1" applyFont="1" applyBorder="1"/>
    <xf numFmtId="0" fontId="7" fillId="0" borderId="0" xfId="0" applyFont="1"/>
    <xf numFmtId="0" fontId="0" fillId="0" borderId="1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Euclidean distance and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Odometry!$J$10:$J$19</c:f>
              <c:numCache>
                <c:formatCode>0.00</c:formatCode>
                <c:ptCount val="10"/>
                <c:pt idx="0">
                  <c:v>198.84164553734712</c:v>
                </c:pt>
                <c:pt idx="1">
                  <c:v>197.08373854785685</c:v>
                </c:pt>
                <c:pt idx="2">
                  <c:v>193.07252523339514</c:v>
                </c:pt>
                <c:pt idx="3">
                  <c:v>195.28952864913163</c:v>
                </c:pt>
                <c:pt idx="4">
                  <c:v>197.3448757885545</c:v>
                </c:pt>
                <c:pt idx="5">
                  <c:v>199.42417105255822</c:v>
                </c:pt>
                <c:pt idx="6">
                  <c:v>194.42736432920137</c:v>
                </c:pt>
                <c:pt idx="7">
                  <c:v>199.06029237394384</c:v>
                </c:pt>
                <c:pt idx="8">
                  <c:v>197.71696942852427</c:v>
                </c:pt>
                <c:pt idx="9">
                  <c:v>195.82900704441107</c:v>
                </c:pt>
              </c:numCache>
            </c:numRef>
          </c:xVal>
          <c:yVal>
            <c:numRef>
              <c:f>Odometry!$K$10:$K$19</c:f>
              <c:numCache>
                <c:formatCode>General</c:formatCode>
                <c:ptCount val="10"/>
                <c:pt idx="0">
                  <c:v>183.52</c:v>
                </c:pt>
                <c:pt idx="1">
                  <c:v>182.42</c:v>
                </c:pt>
                <c:pt idx="2">
                  <c:v>185.7</c:v>
                </c:pt>
                <c:pt idx="3">
                  <c:v>185.37</c:v>
                </c:pt>
                <c:pt idx="4">
                  <c:v>183.76</c:v>
                </c:pt>
                <c:pt idx="5">
                  <c:v>183.09</c:v>
                </c:pt>
                <c:pt idx="6">
                  <c:v>182.92</c:v>
                </c:pt>
                <c:pt idx="7">
                  <c:v>186.25</c:v>
                </c:pt>
                <c:pt idx="8">
                  <c:v>185.85</c:v>
                </c:pt>
                <c:pt idx="9">
                  <c:v>184.31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1-4D71-846B-1C7E24745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034071"/>
        <c:axId val="311287000"/>
      </c:scatterChart>
      <c:valAx>
        <c:axId val="69903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Euclidean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87000"/>
        <c:crosses val="autoZero"/>
        <c:crossBetween val="midCat"/>
      </c:valAx>
      <c:valAx>
        <c:axId val="31128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34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Odometry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Static corodinates</c:v>
          </c:tx>
          <c:spPr>
            <a:ln w="19050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548235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(Odometry!$F$32:$F$37,Odometry!$H$32:$H$37)</c:f>
              <c:numCache>
                <c:formatCode>General</c:formatCode>
                <c:ptCount val="12"/>
                <c:pt idx="0">
                  <c:v>0</c:v>
                </c:pt>
                <c:pt idx="1">
                  <c:v>2400</c:v>
                </c:pt>
                <c:pt idx="2">
                  <c:v>2400</c:v>
                </c:pt>
                <c:pt idx="3">
                  <c:v>4000</c:v>
                </c:pt>
                <c:pt idx="4">
                  <c:v>4000</c:v>
                </c:pt>
                <c:pt idx="5">
                  <c:v>-1950</c:v>
                </c:pt>
                <c:pt idx="6">
                  <c:v>0</c:v>
                </c:pt>
                <c:pt idx="7">
                  <c:v>2202</c:v>
                </c:pt>
                <c:pt idx="8">
                  <c:v>2431</c:v>
                </c:pt>
                <c:pt idx="9">
                  <c:v>3804</c:v>
                </c:pt>
                <c:pt idx="10">
                  <c:v>3935</c:v>
                </c:pt>
                <c:pt idx="11">
                  <c:v>-1799</c:v>
                </c:pt>
              </c:numCache>
            </c:numRef>
          </c:xVal>
          <c:yVal>
            <c:numRef>
              <c:f>Odometry!$G$32:$G$37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-2800</c:v>
                </c:pt>
                <c:pt idx="3">
                  <c:v>-2800</c:v>
                </c:pt>
                <c:pt idx="4">
                  <c:v>-3900</c:v>
                </c:pt>
                <c:pt idx="5">
                  <c:v>-3900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4-4B2B-8CF1-98A47971CF7E}"/>
            </c:ext>
          </c:extLst>
        </c:ser>
        <c:ser>
          <c:idx val="2"/>
          <c:order val="1"/>
          <c:tx>
            <c:v>Dynamic Coordinates</c:v>
          </c:tx>
          <c:spPr>
            <a:ln w="1905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F8F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xVal>
            <c:numRef>
              <c:f>(Odometry!$F$32:$F$37,Odometry!$H$32:$H$37)</c:f>
              <c:numCache>
                <c:formatCode>General</c:formatCode>
                <c:ptCount val="12"/>
                <c:pt idx="0">
                  <c:v>0</c:v>
                </c:pt>
                <c:pt idx="1">
                  <c:v>2400</c:v>
                </c:pt>
                <c:pt idx="2">
                  <c:v>2400</c:v>
                </c:pt>
                <c:pt idx="3">
                  <c:v>4000</c:v>
                </c:pt>
                <c:pt idx="4">
                  <c:v>4000</c:v>
                </c:pt>
                <c:pt idx="5">
                  <c:v>-1950</c:v>
                </c:pt>
                <c:pt idx="6">
                  <c:v>0</c:v>
                </c:pt>
                <c:pt idx="7">
                  <c:v>2202</c:v>
                </c:pt>
                <c:pt idx="8">
                  <c:v>2431</c:v>
                </c:pt>
                <c:pt idx="9">
                  <c:v>3804</c:v>
                </c:pt>
                <c:pt idx="10">
                  <c:v>3935</c:v>
                </c:pt>
                <c:pt idx="11">
                  <c:v>-1799</c:v>
                </c:pt>
              </c:numCache>
            </c:numRef>
          </c:xVal>
          <c:yVal>
            <c:numRef>
              <c:f>Odometry!$I$32:$I$37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-2606</c:v>
                </c:pt>
                <c:pt idx="3">
                  <c:v>-2817</c:v>
                </c:pt>
                <c:pt idx="4">
                  <c:v>-3717</c:v>
                </c:pt>
                <c:pt idx="5">
                  <c:v>-3781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4-4B2B-8CF1-98A47971C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075559"/>
        <c:axId val="1011669639"/>
      </c:scatterChart>
      <c:valAx>
        <c:axId val="1890075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669639"/>
        <c:crosses val="autoZero"/>
        <c:crossBetween val="midCat"/>
      </c:valAx>
      <c:valAx>
        <c:axId val="1011669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75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Euclidean distance and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Tracking!$J$4:$J$5</c:f>
              <c:strCache>
                <c:ptCount val="2"/>
                <c:pt idx="0">
                  <c:v>Time(sec)</c:v>
                </c:pt>
                <c:pt idx="1">
                  <c:v>t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Tracking!$I$6:$I$15</c:f>
              <c:numCache>
                <c:formatCode>0.00</c:formatCode>
                <c:ptCount val="10"/>
                <c:pt idx="0">
                  <c:v>198.9572818471342</c:v>
                </c:pt>
                <c:pt idx="1">
                  <c:v>194.48650338776724</c:v>
                </c:pt>
                <c:pt idx="2">
                  <c:v>196.75873551128549</c:v>
                </c:pt>
                <c:pt idx="3">
                  <c:v>193.82982226685345</c:v>
                </c:pt>
                <c:pt idx="4">
                  <c:v>196.98730923589977</c:v>
                </c:pt>
                <c:pt idx="5">
                  <c:v>197.04060495238031</c:v>
                </c:pt>
                <c:pt idx="6">
                  <c:v>198.022725968511</c:v>
                </c:pt>
                <c:pt idx="7">
                  <c:v>196.74348782107123</c:v>
                </c:pt>
                <c:pt idx="8">
                  <c:v>197.90907002964769</c:v>
                </c:pt>
                <c:pt idx="9">
                  <c:v>194.48650338776724</c:v>
                </c:pt>
              </c:numCache>
            </c:numRef>
          </c:xVal>
          <c:yVal>
            <c:numRef>
              <c:f>Tracking!$J$6:$J$15</c:f>
              <c:numCache>
                <c:formatCode>General</c:formatCode>
                <c:ptCount val="10"/>
                <c:pt idx="0">
                  <c:v>70.84</c:v>
                </c:pt>
                <c:pt idx="1">
                  <c:v>69.28</c:v>
                </c:pt>
                <c:pt idx="2">
                  <c:v>70.33</c:v>
                </c:pt>
                <c:pt idx="3">
                  <c:v>68.430000000000007</c:v>
                </c:pt>
                <c:pt idx="4">
                  <c:v>68.489999999999995</c:v>
                </c:pt>
                <c:pt idx="5">
                  <c:v>68.849999999999994</c:v>
                </c:pt>
                <c:pt idx="6">
                  <c:v>68.03</c:v>
                </c:pt>
                <c:pt idx="7">
                  <c:v>69.67</c:v>
                </c:pt>
                <c:pt idx="8">
                  <c:v>67.95</c:v>
                </c:pt>
                <c:pt idx="9">
                  <c:v>69.17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8-4675-9889-58D967805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17687"/>
        <c:axId val="1168396615"/>
      </c:scatterChart>
      <c:valAx>
        <c:axId val="1847317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Euclidean Distance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96615"/>
        <c:crosses val="autoZero"/>
        <c:crossBetween val="midCat"/>
      </c:valAx>
      <c:valAx>
        <c:axId val="1168396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17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Tracking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Static Coordinates</c:v>
          </c:tx>
          <c:spPr>
            <a:ln w="190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591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xVal>
            <c:numRef>
              <c:f>(Tracking!$G$22:$G$24,Tracking!$I$22:$I$24)</c:f>
              <c:numCache>
                <c:formatCode>General</c:formatCode>
                <c:ptCount val="6"/>
                <c:pt idx="0">
                  <c:v>-1950</c:v>
                </c:pt>
                <c:pt idx="1">
                  <c:v>-1950</c:v>
                </c:pt>
                <c:pt idx="2">
                  <c:v>-4000</c:v>
                </c:pt>
                <c:pt idx="3">
                  <c:v>-1799</c:v>
                </c:pt>
                <c:pt idx="4">
                  <c:v>-1911</c:v>
                </c:pt>
                <c:pt idx="5">
                  <c:v>-3810</c:v>
                </c:pt>
              </c:numCache>
            </c:numRef>
          </c:xVal>
          <c:yVal>
            <c:numRef>
              <c:f>Tracking!$H$22:$H$24</c:f>
              <c:numCache>
                <c:formatCode>General</c:formatCode>
                <c:ptCount val="3"/>
                <c:pt idx="0">
                  <c:v>-3900</c:v>
                </c:pt>
                <c:pt idx="1">
                  <c:v>-1100</c:v>
                </c:pt>
                <c:pt idx="2">
                  <c:v>-1100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B-4825-8D0D-380137FFBE29}"/>
            </c:ext>
          </c:extLst>
        </c:ser>
        <c:ser>
          <c:idx val="2"/>
          <c:order val="1"/>
          <c:tx>
            <c:v>Dynamics Coordinates</c:v>
          </c:tx>
          <c:spPr>
            <a:ln w="19050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5B9BD5"/>
                </a:solidFill>
                <a:prstDash val="solid"/>
              </a:ln>
              <a:effectLst/>
            </c:spPr>
          </c:marker>
          <c:xVal>
            <c:numRef>
              <c:f>(Tracking!$G$22:$G$24,Tracking!$I$22:$I$24)</c:f>
              <c:numCache>
                <c:formatCode>General</c:formatCode>
                <c:ptCount val="6"/>
                <c:pt idx="0">
                  <c:v>-1950</c:v>
                </c:pt>
                <c:pt idx="1">
                  <c:v>-1950</c:v>
                </c:pt>
                <c:pt idx="2">
                  <c:v>-4000</c:v>
                </c:pt>
                <c:pt idx="3">
                  <c:v>-1799</c:v>
                </c:pt>
                <c:pt idx="4">
                  <c:v>-1911</c:v>
                </c:pt>
                <c:pt idx="5">
                  <c:v>-3810</c:v>
                </c:pt>
              </c:numCache>
            </c:numRef>
          </c:xVal>
          <c:yVal>
            <c:numRef>
              <c:f>Tracking!$J$22:$J$24</c:f>
              <c:numCache>
                <c:formatCode>General</c:formatCode>
                <c:ptCount val="3"/>
                <c:pt idx="0">
                  <c:v>-3781</c:v>
                </c:pt>
                <c:pt idx="1">
                  <c:v>-1289</c:v>
                </c:pt>
                <c:pt idx="2">
                  <c:v>-1042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B-4825-8D0D-380137FFB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671576"/>
        <c:axId val="59461160"/>
      </c:scatterChart>
      <c:valAx>
        <c:axId val="203667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1160"/>
        <c:crosses val="autoZero"/>
        <c:crossBetween val="midCat"/>
      </c:valAx>
      <c:valAx>
        <c:axId val="5946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671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6</xdr:row>
      <xdr:rowOff>180975</xdr:rowOff>
    </xdr:from>
    <xdr:to>
      <xdr:col>18</xdr:col>
      <xdr:colOff>571500</xdr:colOff>
      <xdr:row>21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E5018D-D8FF-49F1-8D38-E7C003DD01D7}"/>
            </a:ext>
            <a:ext uri="{147F2762-F138-4A5C-976F-8EAC2B608ADB}">
              <a16:predDERef xmlns:a16="http://schemas.microsoft.com/office/drawing/2014/main" pred="{4EE22B95-3837-27DD-0394-34C13F742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25</xdr:row>
      <xdr:rowOff>180975</xdr:rowOff>
    </xdr:from>
    <xdr:to>
      <xdr:col>18</xdr:col>
      <xdr:colOff>590550</xdr:colOff>
      <xdr:row>40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1D04B1-6CCB-461B-994E-9DC3471CCE6F}"/>
            </a:ext>
            <a:ext uri="{147F2762-F138-4A5C-976F-8EAC2B608ADB}">
              <a16:predDERef xmlns:a16="http://schemas.microsoft.com/office/drawing/2014/main" pred="{D0AFC46C-9BC2-4463-8A42-74439C757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3</xdr:row>
      <xdr:rowOff>19050</xdr:rowOff>
    </xdr:from>
    <xdr:to>
      <xdr:col>17</xdr:col>
      <xdr:colOff>561975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BF19A4-586E-4702-8EAA-3FCA624BAAD3}"/>
            </a:ext>
            <a:ext uri="{147F2762-F138-4A5C-976F-8EAC2B608ADB}">
              <a16:predDERef xmlns:a16="http://schemas.microsoft.com/office/drawing/2014/main" pred="{5A078764-86E1-41A5-B433-1C4E1CEAB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19</xdr:row>
      <xdr:rowOff>0</xdr:rowOff>
    </xdr:from>
    <xdr:to>
      <xdr:col>17</xdr:col>
      <xdr:colOff>485774</xdr:colOff>
      <xdr:row>32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1ACC91-C4CD-4324-ADDA-38EA9F4DB5F4}"/>
            </a:ext>
            <a:ext uri="{147F2762-F138-4A5C-976F-8EAC2B608ADB}">
              <a16:predDERef xmlns:a16="http://schemas.microsoft.com/office/drawing/2014/main" pred="{EF0DD858-2475-4D90-8676-7EE482F49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S39"/>
  <sheetViews>
    <sheetView tabSelected="1" workbookViewId="0">
      <selection activeCell="W18" sqref="W18"/>
    </sheetView>
  </sheetViews>
  <sheetFormatPr defaultRowHeight="15" x14ac:dyDescent="0.25"/>
  <cols>
    <col min="5" max="5" width="14.140625" customWidth="1"/>
    <col min="6" max="6" width="12.28515625" customWidth="1"/>
    <col min="10" max="10" width="16.140625" customWidth="1"/>
    <col min="11" max="11" width="12.28515625" customWidth="1"/>
    <col min="18" max="18" width="14.42578125" customWidth="1"/>
    <col min="19" max="19" width="12.42578125" customWidth="1"/>
  </cols>
  <sheetData>
    <row r="5" spans="5:11" x14ac:dyDescent="0.25">
      <c r="G5" t="s">
        <v>5</v>
      </c>
    </row>
    <row r="8" spans="5:11" x14ac:dyDescent="0.25">
      <c r="E8" s="3" t="s">
        <v>6</v>
      </c>
      <c r="F8" s="23" t="s">
        <v>7</v>
      </c>
      <c r="G8" s="23"/>
      <c r="H8" s="23" t="s">
        <v>8</v>
      </c>
      <c r="I8" s="23"/>
      <c r="J8" s="4" t="s">
        <v>9</v>
      </c>
      <c r="K8" s="5" t="s">
        <v>10</v>
      </c>
    </row>
    <row r="9" spans="5:11" x14ac:dyDescent="0.25">
      <c r="E9" s="6"/>
      <c r="F9" s="2" t="s">
        <v>3</v>
      </c>
      <c r="G9" s="2" t="s">
        <v>4</v>
      </c>
      <c r="H9" s="2" t="s">
        <v>3</v>
      </c>
      <c r="I9" s="2" t="s">
        <v>4</v>
      </c>
      <c r="J9" s="2" t="s">
        <v>11</v>
      </c>
      <c r="K9" s="7" t="s">
        <v>12</v>
      </c>
    </row>
    <row r="10" spans="5:11" x14ac:dyDescent="0.25">
      <c r="E10" s="6">
        <v>1</v>
      </c>
      <c r="F10" s="2">
        <v>-1950</v>
      </c>
      <c r="G10" s="2">
        <v>-3900</v>
      </c>
      <c r="H10" s="2">
        <v>-1797</v>
      </c>
      <c r="I10" s="2">
        <v>-3773</v>
      </c>
      <c r="J10" s="10">
        <f>SQRT((H10-F10)^2+(I10-G10)^2)</f>
        <v>198.84164553734712</v>
      </c>
      <c r="K10" s="7">
        <v>183.52</v>
      </c>
    </row>
    <row r="11" spans="5:11" x14ac:dyDescent="0.25">
      <c r="E11" s="6">
        <v>2</v>
      </c>
      <c r="F11" s="2">
        <v>-1950</v>
      </c>
      <c r="G11" s="2">
        <v>-3900</v>
      </c>
      <c r="H11" s="2">
        <v>-1801</v>
      </c>
      <c r="I11" s="2">
        <v>-3771</v>
      </c>
      <c r="J11" s="10">
        <f t="shared" ref="J11:J19" si="0">SQRT((H11-F11)^2+(I11-G11)^2)</f>
        <v>197.08373854785685</v>
      </c>
      <c r="K11" s="7">
        <v>182.42</v>
      </c>
    </row>
    <row r="12" spans="5:11" x14ac:dyDescent="0.25">
      <c r="E12" s="6">
        <v>3</v>
      </c>
      <c r="F12" s="2">
        <v>-1950</v>
      </c>
      <c r="G12" s="2">
        <v>-3900</v>
      </c>
      <c r="H12" s="2">
        <v>-1816</v>
      </c>
      <c r="I12" s="2">
        <v>-3761</v>
      </c>
      <c r="J12" s="10">
        <f t="shared" si="0"/>
        <v>193.07252523339514</v>
      </c>
      <c r="K12" s="7">
        <v>185.7</v>
      </c>
    </row>
    <row r="13" spans="5:11" x14ac:dyDescent="0.25">
      <c r="E13" s="6">
        <v>4</v>
      </c>
      <c r="F13" s="2">
        <v>-1950</v>
      </c>
      <c r="G13" s="2">
        <v>-3900</v>
      </c>
      <c r="H13" s="2">
        <v>-1817</v>
      </c>
      <c r="I13" s="2">
        <v>-3757</v>
      </c>
      <c r="J13" s="10">
        <f t="shared" si="0"/>
        <v>195.28952864913163</v>
      </c>
      <c r="K13" s="7">
        <v>185.37</v>
      </c>
    </row>
    <row r="14" spans="5:11" x14ac:dyDescent="0.25">
      <c r="E14" s="6">
        <v>5</v>
      </c>
      <c r="F14" s="2">
        <v>-1950</v>
      </c>
      <c r="G14" s="2">
        <v>-3900</v>
      </c>
      <c r="H14" s="2">
        <v>-1807</v>
      </c>
      <c r="I14" s="2">
        <v>-3764</v>
      </c>
      <c r="J14" s="10">
        <f t="shared" si="0"/>
        <v>197.3448757885545</v>
      </c>
      <c r="K14" s="7">
        <v>183.76</v>
      </c>
    </row>
    <row r="15" spans="5:11" x14ac:dyDescent="0.25">
      <c r="E15" s="6">
        <v>6</v>
      </c>
      <c r="F15" s="2">
        <v>-1950</v>
      </c>
      <c r="G15" s="2">
        <v>-3900</v>
      </c>
      <c r="H15" s="2">
        <v>-1807</v>
      </c>
      <c r="I15" s="2">
        <v>-3761</v>
      </c>
      <c r="J15" s="11">
        <f t="shared" si="0"/>
        <v>199.42417105255822</v>
      </c>
      <c r="K15" s="7">
        <v>183.09</v>
      </c>
    </row>
    <row r="16" spans="5:11" x14ac:dyDescent="0.25">
      <c r="E16" s="6">
        <v>7</v>
      </c>
      <c r="F16" s="2">
        <v>-1950</v>
      </c>
      <c r="G16" s="2">
        <v>-3900</v>
      </c>
      <c r="H16" s="2">
        <v>-1841</v>
      </c>
      <c r="I16" s="2">
        <v>-3739</v>
      </c>
      <c r="J16" s="10">
        <f t="shared" si="0"/>
        <v>194.42736432920137</v>
      </c>
      <c r="K16" s="7">
        <v>182.92</v>
      </c>
    </row>
    <row r="17" spans="5:19" x14ac:dyDescent="0.25">
      <c r="E17" s="6">
        <v>8</v>
      </c>
      <c r="F17" s="2">
        <v>-1950</v>
      </c>
      <c r="G17" s="2">
        <v>-3900</v>
      </c>
      <c r="H17" s="2">
        <v>-1801</v>
      </c>
      <c r="I17" s="2">
        <v>-3768</v>
      </c>
      <c r="J17" s="10">
        <f t="shared" si="0"/>
        <v>199.06029237394384</v>
      </c>
      <c r="K17" s="7">
        <v>186.25</v>
      </c>
    </row>
    <row r="18" spans="5:19" x14ac:dyDescent="0.25">
      <c r="E18" s="6">
        <v>9</v>
      </c>
      <c r="F18" s="2">
        <v>-1950</v>
      </c>
      <c r="G18" s="2">
        <v>-3900</v>
      </c>
      <c r="H18" s="2">
        <v>-1796</v>
      </c>
      <c r="I18" s="2">
        <v>-3776</v>
      </c>
      <c r="J18" s="10">
        <f t="shared" si="0"/>
        <v>197.71696942852427</v>
      </c>
      <c r="K18" s="7">
        <v>185.85</v>
      </c>
    </row>
    <row r="19" spans="5:19" x14ac:dyDescent="0.25">
      <c r="E19" s="6">
        <v>10</v>
      </c>
      <c r="F19" s="2">
        <v>-1950</v>
      </c>
      <c r="G19" s="2">
        <v>-3900</v>
      </c>
      <c r="H19" s="2">
        <v>-1755</v>
      </c>
      <c r="I19" s="2">
        <v>-3918</v>
      </c>
      <c r="J19" s="10">
        <f t="shared" si="0"/>
        <v>195.82900704441107</v>
      </c>
      <c r="K19" s="7">
        <v>184.31</v>
      </c>
      <c r="O19" s="13"/>
    </row>
    <row r="20" spans="5:19" x14ac:dyDescent="0.25">
      <c r="E20" s="6" t="s">
        <v>13</v>
      </c>
      <c r="F20" s="2">
        <f t="shared" ref="F20:K20" si="1">AVERAGE(F10:F19)</f>
        <v>-1950</v>
      </c>
      <c r="G20" s="2">
        <f t="shared" si="1"/>
        <v>-3900</v>
      </c>
      <c r="H20" s="2">
        <f t="shared" si="1"/>
        <v>-1803.8</v>
      </c>
      <c r="I20" s="2">
        <f t="shared" si="1"/>
        <v>-3778.8</v>
      </c>
      <c r="J20" s="10">
        <f t="shared" si="1"/>
        <v>196.80901179849238</v>
      </c>
      <c r="K20" s="7">
        <f t="shared" si="1"/>
        <v>184.31899999999999</v>
      </c>
    </row>
    <row r="21" spans="5:19" x14ac:dyDescent="0.25">
      <c r="E21" s="8" t="s">
        <v>14</v>
      </c>
      <c r="F21" s="9">
        <f>_xlfn.STDEV.S(F10:F20)</f>
        <v>0</v>
      </c>
      <c r="G21" s="9">
        <f>_xlfn.STDEV.S(G10:G20)</f>
        <v>0</v>
      </c>
      <c r="H21" s="9">
        <f>_xlfn.STDEV.S(H10:H19)</f>
        <v>21.683583139734488</v>
      </c>
      <c r="I21" s="9">
        <f>_xlfn.STDEV.S(I10:I19)</f>
        <v>50.00844373147843</v>
      </c>
      <c r="J21" s="9">
        <f>_xlfn.STDEV.S(J10:J19)</f>
        <v>2.1115752152994518</v>
      </c>
      <c r="K21" s="9">
        <f>_xlfn.STDEV.S(K10:K19)</f>
        <v>1.3787792507222558</v>
      </c>
    </row>
    <row r="22" spans="5:19" x14ac:dyDescent="0.25">
      <c r="F22" s="27" t="s">
        <v>15</v>
      </c>
      <c r="G22" s="27"/>
      <c r="S22" s="12"/>
    </row>
    <row r="23" spans="5:19" x14ac:dyDescent="0.25">
      <c r="F23" s="27"/>
      <c r="G23" s="27"/>
      <c r="S23" s="12"/>
    </row>
    <row r="24" spans="5:19" x14ac:dyDescent="0.25">
      <c r="F24" s="27"/>
      <c r="G24" s="27"/>
      <c r="S24" s="12"/>
    </row>
    <row r="25" spans="5:19" x14ac:dyDescent="0.25">
      <c r="F25" t="s">
        <v>16</v>
      </c>
      <c r="G25">
        <v>-0.12741</v>
      </c>
      <c r="S25" s="12"/>
    </row>
    <row r="26" spans="5:19" x14ac:dyDescent="0.25">
      <c r="S26" s="12"/>
    </row>
    <row r="27" spans="5:19" x14ac:dyDescent="0.25">
      <c r="S27" s="12"/>
    </row>
    <row r="28" spans="5:19" x14ac:dyDescent="0.25">
      <c r="S28" s="12"/>
    </row>
    <row r="29" spans="5:19" x14ac:dyDescent="0.25">
      <c r="F29" t="s">
        <v>17</v>
      </c>
      <c r="S29" s="12"/>
    </row>
    <row r="30" spans="5:19" x14ac:dyDescent="0.25">
      <c r="E30" s="1" t="s">
        <v>0</v>
      </c>
      <c r="F30" s="22" t="s">
        <v>1</v>
      </c>
      <c r="G30" s="24"/>
      <c r="H30" s="25" t="s">
        <v>18</v>
      </c>
      <c r="I30" s="26"/>
      <c r="S30" s="12"/>
    </row>
    <row r="31" spans="5:19" x14ac:dyDescent="0.25">
      <c r="E31" s="1" t="s">
        <v>2</v>
      </c>
      <c r="F31" s="1" t="s">
        <v>3</v>
      </c>
      <c r="G31" s="20" t="s">
        <v>4</v>
      </c>
      <c r="H31" s="19" t="s">
        <v>3</v>
      </c>
      <c r="I31" s="19" t="s">
        <v>4</v>
      </c>
    </row>
    <row r="32" spans="5:19" x14ac:dyDescent="0.25">
      <c r="E32" s="1">
        <v>0</v>
      </c>
      <c r="F32" s="1">
        <v>0</v>
      </c>
      <c r="G32" s="20">
        <v>0</v>
      </c>
      <c r="H32" s="19">
        <v>0</v>
      </c>
      <c r="I32" s="19">
        <v>0</v>
      </c>
    </row>
    <row r="33" spans="5:9" x14ac:dyDescent="0.25">
      <c r="E33" s="1">
        <v>1</v>
      </c>
      <c r="F33" s="1">
        <v>2400</v>
      </c>
      <c r="G33" s="20">
        <v>0</v>
      </c>
      <c r="H33" s="19">
        <v>2202</v>
      </c>
      <c r="I33" s="19">
        <v>0</v>
      </c>
    </row>
    <row r="34" spans="5:9" x14ac:dyDescent="0.25">
      <c r="E34" s="1">
        <v>2</v>
      </c>
      <c r="F34" s="1">
        <v>2400</v>
      </c>
      <c r="G34" s="20">
        <v>-2800</v>
      </c>
      <c r="H34" s="19">
        <v>2431</v>
      </c>
      <c r="I34" s="19">
        <v>-2606</v>
      </c>
    </row>
    <row r="35" spans="5:9" x14ac:dyDescent="0.25">
      <c r="E35" s="1">
        <v>3</v>
      </c>
      <c r="F35" s="1">
        <v>4000</v>
      </c>
      <c r="G35" s="20">
        <v>-2800</v>
      </c>
      <c r="H35" s="19">
        <v>3804</v>
      </c>
      <c r="I35" s="19">
        <v>-2817</v>
      </c>
    </row>
    <row r="36" spans="5:9" x14ac:dyDescent="0.25">
      <c r="E36" s="1">
        <v>4</v>
      </c>
      <c r="F36" s="1">
        <v>4000</v>
      </c>
      <c r="G36" s="20">
        <v>-3900</v>
      </c>
      <c r="H36" s="19">
        <v>3935</v>
      </c>
      <c r="I36" s="19">
        <v>-3717</v>
      </c>
    </row>
    <row r="37" spans="5:9" x14ac:dyDescent="0.25">
      <c r="E37" s="1">
        <v>5</v>
      </c>
      <c r="F37" s="1">
        <v>-1950</v>
      </c>
      <c r="G37" s="20">
        <v>-3900</v>
      </c>
      <c r="H37" s="19">
        <v>-1799</v>
      </c>
      <c r="I37" s="19">
        <v>-3781</v>
      </c>
    </row>
    <row r="38" spans="5:9" x14ac:dyDescent="0.25">
      <c r="E38" s="2"/>
      <c r="F38" s="2"/>
      <c r="G38" s="21"/>
      <c r="H38" s="19"/>
      <c r="I38" s="19"/>
    </row>
    <row r="39" spans="5:9" x14ac:dyDescent="0.25">
      <c r="E39" s="2"/>
      <c r="F39" s="2"/>
      <c r="G39" s="21"/>
      <c r="H39" s="19"/>
      <c r="I39" s="19"/>
    </row>
  </sheetData>
  <mergeCells count="5">
    <mergeCell ref="F8:G8"/>
    <mergeCell ref="H8:I8"/>
    <mergeCell ref="F30:G30"/>
    <mergeCell ref="H30:I30"/>
    <mergeCell ref="F22:G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2E0B-A528-492F-882E-7B1CC8BD2BA2}">
  <dimension ref="D4:J27"/>
  <sheetViews>
    <sheetView workbookViewId="0">
      <selection activeCell="V16" sqref="V16"/>
    </sheetView>
  </sheetViews>
  <sheetFormatPr defaultRowHeight="15" x14ac:dyDescent="0.25"/>
  <cols>
    <col min="4" max="4" width="13.7109375" customWidth="1"/>
    <col min="14" max="14" width="14.5703125" customWidth="1"/>
  </cols>
  <sheetData>
    <row r="4" spans="4:10" x14ac:dyDescent="0.25">
      <c r="D4" s="3" t="s">
        <v>6</v>
      </c>
      <c r="E4" s="23" t="s">
        <v>7</v>
      </c>
      <c r="F4" s="23"/>
      <c r="G4" s="23" t="s">
        <v>8</v>
      </c>
      <c r="H4" s="23"/>
      <c r="I4" s="4" t="s">
        <v>9</v>
      </c>
      <c r="J4" s="5" t="s">
        <v>10</v>
      </c>
    </row>
    <row r="5" spans="4:10" x14ac:dyDescent="0.25">
      <c r="D5" s="6"/>
      <c r="E5" s="2" t="s">
        <v>3</v>
      </c>
      <c r="F5" s="2" t="s">
        <v>4</v>
      </c>
      <c r="G5" s="2" t="s">
        <v>3</v>
      </c>
      <c r="H5" s="2" t="s">
        <v>4</v>
      </c>
      <c r="I5" s="2" t="s">
        <v>11</v>
      </c>
      <c r="J5" s="7" t="s">
        <v>12</v>
      </c>
    </row>
    <row r="6" spans="4:10" x14ac:dyDescent="0.25">
      <c r="D6" s="6">
        <v>1</v>
      </c>
      <c r="E6" s="2">
        <v>-4000</v>
      </c>
      <c r="F6" s="2">
        <v>-1100</v>
      </c>
      <c r="G6" s="12">
        <v>-3828</v>
      </c>
      <c r="H6" s="2">
        <v>-1000</v>
      </c>
      <c r="I6" s="10">
        <f>SQRT((G6-E6)^2+(H6-F6)^2)</f>
        <v>198.9572818471342</v>
      </c>
      <c r="J6" s="7">
        <v>70.84</v>
      </c>
    </row>
    <row r="7" spans="4:10" x14ac:dyDescent="0.25">
      <c r="D7" s="6">
        <v>2</v>
      </c>
      <c r="E7" s="2">
        <v>-4000</v>
      </c>
      <c r="F7" s="2">
        <v>-1100</v>
      </c>
      <c r="G7" s="2">
        <v>-3816</v>
      </c>
      <c r="H7" s="2">
        <v>-1037</v>
      </c>
      <c r="I7" s="10">
        <f t="shared" ref="I7:I15" si="0">SQRT((G7-E7)^2+(H7-F7)^2)</f>
        <v>194.48650338776724</v>
      </c>
      <c r="J7" s="7">
        <v>69.28</v>
      </c>
    </row>
    <row r="8" spans="4:10" x14ac:dyDescent="0.25">
      <c r="D8" s="6">
        <v>3</v>
      </c>
      <c r="E8" s="2">
        <v>-4000</v>
      </c>
      <c r="F8" s="2">
        <v>-1100</v>
      </c>
      <c r="G8" s="2">
        <v>-3815</v>
      </c>
      <c r="H8" s="2">
        <v>-1033</v>
      </c>
      <c r="I8" s="10">
        <f t="shared" si="0"/>
        <v>196.75873551128549</v>
      </c>
      <c r="J8" s="7">
        <v>70.33</v>
      </c>
    </row>
    <row r="9" spans="4:10" x14ac:dyDescent="0.25">
      <c r="D9" s="6">
        <v>4</v>
      </c>
      <c r="E9" s="2">
        <v>-4000</v>
      </c>
      <c r="F9" s="2">
        <v>-1100</v>
      </c>
      <c r="G9" s="2">
        <v>-3813</v>
      </c>
      <c r="H9" s="2">
        <v>-1049</v>
      </c>
      <c r="I9" s="10">
        <f t="shared" si="0"/>
        <v>193.82982226685345</v>
      </c>
      <c r="J9" s="7">
        <v>68.430000000000007</v>
      </c>
    </row>
    <row r="10" spans="4:10" x14ac:dyDescent="0.25">
      <c r="D10" s="6">
        <v>5</v>
      </c>
      <c r="E10" s="2">
        <v>-4000</v>
      </c>
      <c r="F10" s="2">
        <v>-1100</v>
      </c>
      <c r="G10" s="2">
        <v>-3810</v>
      </c>
      <c r="H10" s="2">
        <v>-1048</v>
      </c>
      <c r="I10" s="10">
        <f t="shared" si="0"/>
        <v>196.98730923589977</v>
      </c>
      <c r="J10" s="7">
        <v>68.489999999999995</v>
      </c>
    </row>
    <row r="11" spans="4:10" x14ac:dyDescent="0.25">
      <c r="D11" s="6">
        <v>6</v>
      </c>
      <c r="E11" s="2">
        <v>-4000</v>
      </c>
      <c r="F11" s="2">
        <v>-1100</v>
      </c>
      <c r="G11" s="2">
        <v>-3812</v>
      </c>
      <c r="H11" s="2">
        <v>-1041</v>
      </c>
      <c r="I11" s="10">
        <f t="shared" si="0"/>
        <v>197.04060495238031</v>
      </c>
      <c r="J11" s="7">
        <v>68.849999999999994</v>
      </c>
    </row>
    <row r="12" spans="4:10" x14ac:dyDescent="0.25">
      <c r="D12" s="6">
        <v>7</v>
      </c>
      <c r="E12" s="2">
        <v>-4000</v>
      </c>
      <c r="F12" s="2">
        <v>-1100</v>
      </c>
      <c r="G12" s="2">
        <v>-3802</v>
      </c>
      <c r="H12" s="2">
        <v>-1103</v>
      </c>
      <c r="I12" s="10">
        <f t="shared" si="0"/>
        <v>198.022725968511</v>
      </c>
      <c r="J12" s="7">
        <v>68.03</v>
      </c>
    </row>
    <row r="13" spans="4:10" x14ac:dyDescent="0.25">
      <c r="D13" s="6">
        <v>8</v>
      </c>
      <c r="E13" s="2">
        <v>-4000</v>
      </c>
      <c r="F13" s="2">
        <v>-1100</v>
      </c>
      <c r="G13" s="2">
        <v>-3812</v>
      </c>
      <c r="H13" s="2">
        <v>-1042</v>
      </c>
      <c r="I13" s="10">
        <f t="shared" si="0"/>
        <v>196.74348782107123</v>
      </c>
      <c r="J13" s="7">
        <v>69.67</v>
      </c>
    </row>
    <row r="14" spans="4:10" x14ac:dyDescent="0.25">
      <c r="D14" s="6">
        <v>9</v>
      </c>
      <c r="E14" s="2">
        <v>-4000</v>
      </c>
      <c r="F14" s="2">
        <v>-1100</v>
      </c>
      <c r="G14" s="2">
        <v>-3808</v>
      </c>
      <c r="H14" s="2">
        <v>-1052</v>
      </c>
      <c r="I14" s="10">
        <f t="shared" si="0"/>
        <v>197.90907002964769</v>
      </c>
      <c r="J14" s="7">
        <v>67.95</v>
      </c>
    </row>
    <row r="15" spans="4:10" x14ac:dyDescent="0.25">
      <c r="D15" s="6">
        <v>10</v>
      </c>
      <c r="E15" s="2">
        <v>-4000</v>
      </c>
      <c r="F15" s="2">
        <v>-1100</v>
      </c>
      <c r="G15" s="2">
        <v>-3815</v>
      </c>
      <c r="H15" s="2">
        <v>-1040</v>
      </c>
      <c r="I15" s="10">
        <f t="shared" si="0"/>
        <v>194.48650338776724</v>
      </c>
      <c r="J15" s="7">
        <v>69.17</v>
      </c>
    </row>
    <row r="16" spans="4:10" x14ac:dyDescent="0.25">
      <c r="D16" s="6" t="s">
        <v>13</v>
      </c>
      <c r="E16" s="2">
        <f t="shared" ref="E16:J16" si="1">AVERAGE(E6:E15)</f>
        <v>-4000</v>
      </c>
      <c r="F16" s="2">
        <f t="shared" si="1"/>
        <v>-1100</v>
      </c>
      <c r="G16" s="2">
        <f t="shared" si="1"/>
        <v>-3813.1</v>
      </c>
      <c r="H16" s="2">
        <f t="shared" si="1"/>
        <v>-1044.5</v>
      </c>
      <c r="I16" s="10">
        <f t="shared" si="1"/>
        <v>196.52220444083179</v>
      </c>
      <c r="J16" s="7">
        <f t="shared" si="1"/>
        <v>69.103999999999999</v>
      </c>
    </row>
    <row r="17" spans="4:10" x14ac:dyDescent="0.25">
      <c r="D17" s="8" t="s">
        <v>14</v>
      </c>
      <c r="E17" s="9">
        <f t="shared" ref="E17:J17" si="2">_xlfn.STDEV.S(E6:E15)</f>
        <v>0</v>
      </c>
      <c r="F17" s="9">
        <f t="shared" si="2"/>
        <v>0</v>
      </c>
      <c r="G17" s="9">
        <f t="shared" si="2"/>
        <v>6.6574936892363805</v>
      </c>
      <c r="H17" s="9">
        <f t="shared" si="2"/>
        <v>25.206921448064396</v>
      </c>
      <c r="I17" s="9">
        <f t="shared" si="2"/>
        <v>1.7072270290749447</v>
      </c>
      <c r="J17" s="9">
        <f t="shared" si="2"/>
        <v>0.95762669599844019</v>
      </c>
    </row>
    <row r="20" spans="4:10" x14ac:dyDescent="0.25">
      <c r="F20" s="1" t="s">
        <v>0</v>
      </c>
      <c r="G20" s="22" t="s">
        <v>1</v>
      </c>
      <c r="H20" s="24"/>
      <c r="I20" s="25" t="s">
        <v>18</v>
      </c>
      <c r="J20" s="26"/>
    </row>
    <row r="21" spans="4:10" x14ac:dyDescent="0.25">
      <c r="F21" s="1" t="s">
        <v>2</v>
      </c>
      <c r="G21" s="1" t="s">
        <v>3</v>
      </c>
      <c r="H21" s="20" t="s">
        <v>4</v>
      </c>
      <c r="I21" s="19" t="s">
        <v>3</v>
      </c>
      <c r="J21" s="19" t="s">
        <v>4</v>
      </c>
    </row>
    <row r="22" spans="4:10" x14ac:dyDescent="0.25">
      <c r="F22" s="1">
        <v>5</v>
      </c>
      <c r="G22" s="1">
        <v>-1950</v>
      </c>
      <c r="H22" s="20">
        <v>-3900</v>
      </c>
      <c r="I22" s="19">
        <v>-1799</v>
      </c>
      <c r="J22" s="19">
        <v>-3781</v>
      </c>
    </row>
    <row r="23" spans="4:10" x14ac:dyDescent="0.25">
      <c r="F23" s="2">
        <v>6</v>
      </c>
      <c r="G23" s="2">
        <v>-1950</v>
      </c>
      <c r="H23" s="21">
        <v>-1100</v>
      </c>
      <c r="I23" s="19">
        <v>-1911</v>
      </c>
      <c r="J23" s="19">
        <v>-1289</v>
      </c>
    </row>
    <row r="24" spans="4:10" x14ac:dyDescent="0.25">
      <c r="F24" s="2">
        <v>7</v>
      </c>
      <c r="G24" s="2">
        <v>-4000</v>
      </c>
      <c r="H24" s="21">
        <v>-1100</v>
      </c>
      <c r="I24" s="19">
        <v>-3810</v>
      </c>
      <c r="J24" s="19">
        <v>-1042</v>
      </c>
    </row>
    <row r="26" spans="4:10" x14ac:dyDescent="0.25">
      <c r="D26" t="s">
        <v>19</v>
      </c>
      <c r="E26">
        <f>_xlfn.COVARIANCE.S(I6:I15,J6:J15)</f>
        <v>0.25947807878071316</v>
      </c>
    </row>
    <row r="27" spans="4:10" x14ac:dyDescent="0.25">
      <c r="D27" t="s">
        <v>20</v>
      </c>
      <c r="E27">
        <f>CORREL(I6:I15,J6:J15)</f>
        <v>0.15871323770813481</v>
      </c>
    </row>
  </sheetData>
  <mergeCells count="4">
    <mergeCell ref="E4:F4"/>
    <mergeCell ref="G4:H4"/>
    <mergeCell ref="G20:H20"/>
    <mergeCell ref="I20:J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ECD2-C314-45B4-8A7F-8C8D935644E6}">
  <dimension ref="E3:X22"/>
  <sheetViews>
    <sheetView workbookViewId="0">
      <selection activeCell="S22" sqref="S22"/>
    </sheetView>
  </sheetViews>
  <sheetFormatPr defaultRowHeight="15" x14ac:dyDescent="0.25"/>
  <sheetData>
    <row r="3" spans="5:24" x14ac:dyDescent="0.25">
      <c r="E3" t="s">
        <v>21</v>
      </c>
      <c r="H3" s="14" t="s">
        <v>22</v>
      </c>
    </row>
    <row r="4" spans="5:24" x14ac:dyDescent="0.25">
      <c r="H4" s="15" t="s">
        <v>23</v>
      </c>
      <c r="I4" s="28" t="s">
        <v>24</v>
      </c>
      <c r="J4" s="29"/>
      <c r="K4" s="28" t="s">
        <v>25</v>
      </c>
      <c r="L4" s="29"/>
      <c r="M4" s="15" t="s">
        <v>26</v>
      </c>
      <c r="N4" s="15" t="s">
        <v>27</v>
      </c>
      <c r="R4" s="3" t="s">
        <v>6</v>
      </c>
      <c r="S4" s="23" t="s">
        <v>7</v>
      </c>
      <c r="T4" s="23"/>
      <c r="U4" s="23" t="s">
        <v>8</v>
      </c>
      <c r="V4" s="23"/>
      <c r="W4" s="4" t="s">
        <v>9</v>
      </c>
      <c r="X4" s="5" t="s">
        <v>10</v>
      </c>
    </row>
    <row r="5" spans="5:24" x14ac:dyDescent="0.25">
      <c r="H5" s="15" t="s">
        <v>28</v>
      </c>
      <c r="I5" s="15" t="s">
        <v>29</v>
      </c>
      <c r="J5" s="15" t="s">
        <v>30</v>
      </c>
      <c r="K5" s="15" t="s">
        <v>31</v>
      </c>
      <c r="L5" s="15" t="s">
        <v>32</v>
      </c>
      <c r="M5" s="15" t="s">
        <v>11</v>
      </c>
      <c r="N5" s="15" t="s">
        <v>12</v>
      </c>
      <c r="R5" s="6"/>
      <c r="S5" s="2" t="s">
        <v>3</v>
      </c>
      <c r="T5" s="2" t="s">
        <v>4</v>
      </c>
      <c r="U5" s="2" t="s">
        <v>3</v>
      </c>
      <c r="V5" s="2" t="s">
        <v>4</v>
      </c>
      <c r="W5" s="2" t="s">
        <v>11</v>
      </c>
      <c r="X5" s="7" t="s">
        <v>12</v>
      </c>
    </row>
    <row r="6" spans="5:24" x14ac:dyDescent="0.25">
      <c r="H6" s="16">
        <v>6</v>
      </c>
      <c r="I6" s="16">
        <v>-1900</v>
      </c>
      <c r="J6" s="16">
        <v>-3700</v>
      </c>
      <c r="K6" s="16">
        <v>-1898</v>
      </c>
      <c r="L6" s="16">
        <v>-3533</v>
      </c>
      <c r="M6" s="16">
        <v>167</v>
      </c>
      <c r="N6" s="16">
        <v>173.2</v>
      </c>
      <c r="R6" s="6">
        <v>1</v>
      </c>
      <c r="S6" s="16">
        <v>-1900</v>
      </c>
      <c r="T6" s="16">
        <v>-3700</v>
      </c>
      <c r="U6" s="16">
        <v>-1898</v>
      </c>
      <c r="V6" s="16">
        <v>-3533</v>
      </c>
      <c r="W6" s="10">
        <f>SQRT((U6-S6)^2+(V6-T6)^2)</f>
        <v>167.01197561851666</v>
      </c>
      <c r="X6" s="16">
        <v>173.2</v>
      </c>
    </row>
    <row r="7" spans="5:24" x14ac:dyDescent="0.25">
      <c r="H7" s="16">
        <v>6</v>
      </c>
      <c r="I7" s="16">
        <v>-1900</v>
      </c>
      <c r="J7" s="16">
        <v>-3700</v>
      </c>
      <c r="K7" s="16">
        <v>-1903</v>
      </c>
      <c r="L7" s="16">
        <v>-3530</v>
      </c>
      <c r="M7" s="16">
        <v>170</v>
      </c>
      <c r="N7" s="16">
        <v>173.5</v>
      </c>
      <c r="R7" s="6">
        <v>2</v>
      </c>
      <c r="S7" s="16">
        <v>-1900</v>
      </c>
      <c r="T7" s="16">
        <v>-3700</v>
      </c>
      <c r="U7" s="16">
        <v>-1903</v>
      </c>
      <c r="V7" s="16">
        <v>-3530</v>
      </c>
      <c r="W7" s="10">
        <f t="shared" ref="W7:W15" si="0">SQRT((U7-S7)^2+(V7-T7)^2)</f>
        <v>170.02646852769718</v>
      </c>
      <c r="X7" s="16">
        <v>173.5</v>
      </c>
    </row>
    <row r="8" spans="5:24" x14ac:dyDescent="0.25">
      <c r="H8" s="16">
        <v>6</v>
      </c>
      <c r="I8" s="16">
        <v>-1900</v>
      </c>
      <c r="J8" s="16">
        <v>-3700</v>
      </c>
      <c r="K8" s="16">
        <v>-1904</v>
      </c>
      <c r="L8" s="16">
        <v>-3523</v>
      </c>
      <c r="M8" s="16">
        <v>177</v>
      </c>
      <c r="N8" s="16">
        <v>174</v>
      </c>
      <c r="R8" s="6">
        <v>3</v>
      </c>
      <c r="S8" s="16">
        <v>-1900</v>
      </c>
      <c r="T8" s="16">
        <v>-3700</v>
      </c>
      <c r="U8" s="16">
        <v>-1904</v>
      </c>
      <c r="V8" s="16">
        <v>-3523</v>
      </c>
      <c r="W8" s="10">
        <f t="shared" si="0"/>
        <v>177.04519197086375</v>
      </c>
      <c r="X8" s="16">
        <v>174</v>
      </c>
    </row>
    <row r="9" spans="5:24" x14ac:dyDescent="0.25">
      <c r="H9" s="16">
        <v>6</v>
      </c>
      <c r="I9" s="16">
        <v>-1900</v>
      </c>
      <c r="J9" s="16">
        <v>-3700</v>
      </c>
      <c r="K9" s="16">
        <v>-1904</v>
      </c>
      <c r="L9" s="16">
        <v>-3514</v>
      </c>
      <c r="M9" s="16">
        <v>186</v>
      </c>
      <c r="N9" s="16">
        <v>173.6</v>
      </c>
      <c r="R9" s="6">
        <v>4</v>
      </c>
      <c r="S9" s="16">
        <v>-1900</v>
      </c>
      <c r="T9" s="16">
        <v>-3700</v>
      </c>
      <c r="U9" s="16">
        <v>-1904</v>
      </c>
      <c r="V9" s="16">
        <v>-3514</v>
      </c>
      <c r="W9" s="10">
        <f t="shared" si="0"/>
        <v>186.04300578092153</v>
      </c>
      <c r="X9" s="16">
        <v>173.6</v>
      </c>
    </row>
    <row r="10" spans="5:24" x14ac:dyDescent="0.25">
      <c r="H10" s="16">
        <v>6</v>
      </c>
      <c r="I10" s="16">
        <v>-1900</v>
      </c>
      <c r="J10" s="16">
        <v>-3700</v>
      </c>
      <c r="K10" s="16">
        <v>-1901</v>
      </c>
      <c r="L10" s="16">
        <v>-3531</v>
      </c>
      <c r="M10" s="16">
        <v>169</v>
      </c>
      <c r="N10" s="16">
        <v>173.3</v>
      </c>
      <c r="R10" s="6">
        <v>5</v>
      </c>
      <c r="S10" s="16">
        <v>-1900</v>
      </c>
      <c r="T10" s="16">
        <v>-3700</v>
      </c>
      <c r="U10" s="16">
        <v>-1901</v>
      </c>
      <c r="V10" s="16">
        <v>-3531</v>
      </c>
      <c r="W10" s="10">
        <f t="shared" si="0"/>
        <v>169.00295855398508</v>
      </c>
      <c r="X10" s="16">
        <v>173.3</v>
      </c>
    </row>
    <row r="11" spans="5:24" x14ac:dyDescent="0.25">
      <c r="H11" s="16">
        <v>6</v>
      </c>
      <c r="I11" s="16">
        <v>-1900</v>
      </c>
      <c r="J11" s="16">
        <v>-3700</v>
      </c>
      <c r="K11" s="16">
        <v>-1904</v>
      </c>
      <c r="L11" s="16">
        <v>-3523</v>
      </c>
      <c r="M11" s="16">
        <v>177</v>
      </c>
      <c r="N11" s="16">
        <v>174.1</v>
      </c>
      <c r="R11" s="6">
        <v>6</v>
      </c>
      <c r="S11" s="16">
        <v>-1900</v>
      </c>
      <c r="T11" s="16">
        <v>-3700</v>
      </c>
      <c r="U11" s="16">
        <v>-1904</v>
      </c>
      <c r="V11" s="16">
        <v>-3523</v>
      </c>
      <c r="W11" s="10">
        <f t="shared" si="0"/>
        <v>177.04519197086375</v>
      </c>
      <c r="X11" s="16">
        <v>174.1</v>
      </c>
    </row>
    <row r="12" spans="5:24" x14ac:dyDescent="0.25">
      <c r="H12" s="16">
        <v>6</v>
      </c>
      <c r="I12" s="16">
        <v>-1900</v>
      </c>
      <c r="J12" s="16">
        <v>-3700</v>
      </c>
      <c r="K12" s="16">
        <v>-1904</v>
      </c>
      <c r="L12" s="16">
        <v>-3521</v>
      </c>
      <c r="M12" s="16">
        <v>179</v>
      </c>
      <c r="N12" s="16">
        <v>175.6</v>
      </c>
      <c r="R12" s="6">
        <v>7</v>
      </c>
      <c r="S12" s="16">
        <v>-1900</v>
      </c>
      <c r="T12" s="16">
        <v>-3700</v>
      </c>
      <c r="U12" s="16">
        <v>-1904</v>
      </c>
      <c r="V12" s="16">
        <v>-3521</v>
      </c>
      <c r="W12" s="10">
        <f t="shared" si="0"/>
        <v>179.04468715937929</v>
      </c>
      <c r="X12" s="16">
        <v>175.6</v>
      </c>
    </row>
    <row r="13" spans="5:24" x14ac:dyDescent="0.25">
      <c r="H13" s="16">
        <v>6</v>
      </c>
      <c r="I13" s="16">
        <v>-1900</v>
      </c>
      <c r="J13" s="16">
        <v>-3700</v>
      </c>
      <c r="K13" s="16">
        <v>-1895</v>
      </c>
      <c r="L13" s="16">
        <v>-3513</v>
      </c>
      <c r="M13" s="16">
        <v>187.1</v>
      </c>
      <c r="N13" s="16">
        <v>174.8</v>
      </c>
      <c r="R13" s="6">
        <v>8</v>
      </c>
      <c r="S13" s="16">
        <v>-1900</v>
      </c>
      <c r="T13" s="16">
        <v>-3700</v>
      </c>
      <c r="U13" s="16">
        <v>-1895</v>
      </c>
      <c r="V13" s="16">
        <v>-3513</v>
      </c>
      <c r="W13" s="10">
        <f t="shared" si="0"/>
        <v>187.06683297688022</v>
      </c>
      <c r="X13" s="16">
        <v>174.8</v>
      </c>
    </row>
    <row r="14" spans="5:24" x14ac:dyDescent="0.25">
      <c r="H14" s="16">
        <v>6</v>
      </c>
      <c r="I14" s="16">
        <v>-1900</v>
      </c>
      <c r="J14" s="16">
        <v>-3700</v>
      </c>
      <c r="K14" s="16">
        <v>-1895</v>
      </c>
      <c r="L14" s="16">
        <v>-3533</v>
      </c>
      <c r="M14" s="16">
        <v>167.1</v>
      </c>
      <c r="N14" s="16">
        <v>174.6</v>
      </c>
      <c r="R14" s="6">
        <v>9</v>
      </c>
      <c r="S14" s="16">
        <v>-1900</v>
      </c>
      <c r="T14" s="16">
        <v>-3700</v>
      </c>
      <c r="U14" s="16">
        <v>-1895</v>
      </c>
      <c r="V14" s="16">
        <v>-3533</v>
      </c>
      <c r="W14" s="10">
        <f t="shared" si="0"/>
        <v>167.0748335327616</v>
      </c>
      <c r="X14" s="16">
        <v>174.6</v>
      </c>
    </row>
    <row r="15" spans="5:24" x14ac:dyDescent="0.25">
      <c r="H15" s="16">
        <v>6</v>
      </c>
      <c r="I15" s="16">
        <v>-1900</v>
      </c>
      <c r="J15" s="16">
        <v>-3700</v>
      </c>
      <c r="K15" s="16">
        <v>-1898</v>
      </c>
      <c r="L15" s="17">
        <v>-3536</v>
      </c>
      <c r="M15" s="16">
        <v>177</v>
      </c>
      <c r="N15" s="16">
        <v>174.7</v>
      </c>
      <c r="R15" s="6">
        <v>10</v>
      </c>
      <c r="S15" s="16">
        <v>-1900</v>
      </c>
      <c r="T15" s="16">
        <v>-3700</v>
      </c>
      <c r="U15" s="16">
        <v>-1898</v>
      </c>
      <c r="V15" s="17">
        <v>-3536</v>
      </c>
      <c r="W15" s="10">
        <f t="shared" si="0"/>
        <v>164.01219466856725</v>
      </c>
      <c r="X15" s="16">
        <v>174.7</v>
      </c>
    </row>
    <row r="16" spans="5:24" x14ac:dyDescent="0.25">
      <c r="H16" s="15" t="s">
        <v>33</v>
      </c>
      <c r="I16" s="15">
        <f t="shared" ref="I16:N16" si="1">AVERAGE(I6:I15)</f>
        <v>-1900</v>
      </c>
      <c r="J16" s="15">
        <f t="shared" si="1"/>
        <v>-3700</v>
      </c>
      <c r="K16" s="15">
        <f t="shared" si="1"/>
        <v>-1900.6</v>
      </c>
      <c r="L16" s="15">
        <f t="shared" si="1"/>
        <v>-3525.7</v>
      </c>
      <c r="M16" s="15">
        <f t="shared" si="1"/>
        <v>175.61999999999998</v>
      </c>
      <c r="N16" s="15">
        <f t="shared" si="1"/>
        <v>174.14</v>
      </c>
      <c r="R16" s="6" t="s">
        <v>13</v>
      </c>
      <c r="S16" s="2">
        <f t="shared" ref="S16:X16" si="2">AVERAGE(S6:S15)</f>
        <v>-1900</v>
      </c>
      <c r="T16" s="2">
        <f t="shared" si="2"/>
        <v>-3700</v>
      </c>
      <c r="U16" s="2">
        <f t="shared" si="2"/>
        <v>-1900.6</v>
      </c>
      <c r="V16" s="2">
        <f t="shared" si="2"/>
        <v>-3525.7</v>
      </c>
      <c r="W16" s="10">
        <f t="shared" si="2"/>
        <v>174.33733407604362</v>
      </c>
      <c r="X16" s="7">
        <f t="shared" si="2"/>
        <v>174.14</v>
      </c>
    </row>
    <row r="17" spans="8:24" x14ac:dyDescent="0.25">
      <c r="H17" s="15" t="s">
        <v>34</v>
      </c>
      <c r="I17" s="15">
        <f t="shared" ref="I17:N17" si="3">_xlfn.STDEV.S(I6:I15)</f>
        <v>0</v>
      </c>
      <c r="J17" s="15">
        <f t="shared" si="3"/>
        <v>0</v>
      </c>
      <c r="K17" s="15">
        <f t="shared" si="3"/>
        <v>3.7771241264574118</v>
      </c>
      <c r="L17" s="15">
        <f t="shared" si="3"/>
        <v>8.1247222174737228</v>
      </c>
      <c r="M17" s="15">
        <f t="shared" si="3"/>
        <v>7.2951734424587578</v>
      </c>
      <c r="N17" s="15">
        <f t="shared" si="3"/>
        <v>0.77488350378908133</v>
      </c>
      <c r="R17" s="8" t="s">
        <v>14</v>
      </c>
      <c r="S17" s="9">
        <f t="shared" ref="S17:X17" si="4">_xlfn.STDEV.S(S6:S15)</f>
        <v>0</v>
      </c>
      <c r="T17" s="9">
        <f t="shared" si="4"/>
        <v>0</v>
      </c>
      <c r="U17" s="9">
        <f t="shared" si="4"/>
        <v>3.7771241264574118</v>
      </c>
      <c r="V17" s="9">
        <f t="shared" si="4"/>
        <v>8.1247222174737228</v>
      </c>
      <c r="W17" s="9">
        <f t="shared" si="4"/>
        <v>8.1372905167066882</v>
      </c>
      <c r="X17" s="9">
        <f t="shared" si="4"/>
        <v>0.77488350378908133</v>
      </c>
    </row>
    <row r="18" spans="8:24" x14ac:dyDescent="0.25">
      <c r="H18" s="18" t="s">
        <v>35</v>
      </c>
    </row>
    <row r="19" spans="8:24" x14ac:dyDescent="0.25">
      <c r="H19" s="18" t="s">
        <v>35</v>
      </c>
      <c r="S19">
        <f>CORREL(W6:W15, X6:X15)</f>
        <v>0.23733544411113608</v>
      </c>
    </row>
    <row r="20" spans="8:24" x14ac:dyDescent="0.25">
      <c r="H20" s="18" t="s">
        <v>35</v>
      </c>
    </row>
    <row r="21" spans="8:24" x14ac:dyDescent="0.25">
      <c r="H21" s="18" t="s">
        <v>35</v>
      </c>
      <c r="S21">
        <f>_xlfn.COVARIANCE.S(W6:W15, X6:X15)</f>
        <v>1.4965072951078338</v>
      </c>
    </row>
    <row r="22" spans="8:24" x14ac:dyDescent="0.25">
      <c r="H22" s="18" t="s">
        <v>35</v>
      </c>
    </row>
  </sheetData>
  <mergeCells count="4">
    <mergeCell ref="I4:J4"/>
    <mergeCell ref="K4:L4"/>
    <mergeCell ref="S4:T4"/>
    <mergeCell ref="U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Odometry</vt:lpstr>
      <vt:lpstr>Tracking</vt:lpstr>
      <vt:lpstr>Odometry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Adoyi Perez</dc:creator>
  <cp:keywords/>
  <dc:description/>
  <cp:lastModifiedBy>Emmanuel Amodu</cp:lastModifiedBy>
  <cp:revision/>
  <dcterms:created xsi:type="dcterms:W3CDTF">2023-03-16T16:57:33Z</dcterms:created>
  <dcterms:modified xsi:type="dcterms:W3CDTF">2023-04-21T10:50:52Z</dcterms:modified>
  <cp:category/>
  <cp:contentStatus/>
</cp:coreProperties>
</file>